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ad Key" sheetId="1" state="visible" r:id="rId1"/>
    <sheet name="Leads" sheetId="2" state="visible" r:id="rId2"/>
    <sheet name="Package Bookings" sheetId="3" state="hidden" r:id="rId3"/>
    <sheet name="Tour Bookings" sheetId="4" state="hidden" r:id="rId4"/>
    <sheet name="Corporate Leads" sheetId="5" state="hidden" r:id="rId5"/>
    <sheet name="Newsletter" sheetId="6" state="hidden" r:id="rId6"/>
    <sheet name="Campaign Leads" sheetId="7" state="hidden" r:id="rId7"/>
  </sheets>
  <definedNames>
    <definedName name="_xlnm._FilterDatabase" localSheetId="1" hidden="1">'Leads'!$A$1:$Q$1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C9A961"/>
      <sz val="11"/>
    </font>
    <font>
      <name val="Arial"/>
      <b val="1"/>
      <color rgb="00FFFFFF"/>
      <sz val="13"/>
    </font>
    <font>
      <name val="Arial"/>
      <color rgb="001F2A24"/>
      <sz val="10"/>
    </font>
    <font>
      <name val="Consolas"/>
      <color rgb="001F2A24"/>
      <sz val="10"/>
    </font>
    <font>
      <name val="Consolas"/>
      <b val="1"/>
      <color rgb="000F2F1F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2F1F"/>
        <bgColor rgb="000F2F1F"/>
      </patternFill>
    </fill>
    <fill>
      <patternFill patternType="solid">
        <fgColor rgb="001A3D2A"/>
        <bgColor rgb="001A3D2A"/>
      </patternFill>
    </fill>
    <fill>
      <patternFill patternType="solid">
        <fgColor rgb="00F5F0E1"/>
        <bgColor rgb="00F5F0E1"/>
      </patternFill>
    </fill>
  </fills>
  <borders count="2">
    <border>
      <left/>
      <right/>
      <top/>
      <bottom/>
      <diagonal/>
    </border>
    <border>
      <left style="thin">
        <color rgb="00C9A961"/>
      </left>
      <right style="thin">
        <color rgb="00C9A961"/>
      </right>
      <top style="thin">
        <color rgb="00C9A961"/>
      </top>
      <bottom style="thin">
        <color rgb="00C9A96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 indent="1"/>
    </xf>
    <xf numFmtId="0" fontId="5" fillId="4" borderId="0" applyAlignment="1" pivotButton="0" quotePrefix="0" xfId="0">
      <alignment horizontal="left" vertical="top" indent="1"/>
    </xf>
    <xf numFmtId="0" fontId="7" fillId="2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5">
    <dxf>
      <font>
        <name val="Arial"/>
        <b val="1"/>
        <color rgb="001F2A24"/>
        <sz val="10"/>
      </font>
      <fill>
        <patternFill patternType="solid">
          <fgColor rgb="00D2E3FC"/>
          <bgColor rgb="00D2E3FC"/>
        </patternFill>
      </fill>
    </dxf>
    <dxf>
      <font>
        <name val="Arial"/>
        <b val="1"/>
        <color rgb="001F2A24"/>
        <sz val="10"/>
      </font>
      <fill>
        <patternFill patternType="solid">
          <fgColor rgb="00FEEFC3"/>
          <bgColor rgb="00FEEFC3"/>
        </patternFill>
      </fill>
    </dxf>
    <dxf>
      <font>
        <name val="Arial"/>
        <b val="1"/>
        <color rgb="001F2A24"/>
        <sz val="10"/>
      </font>
      <fill>
        <patternFill patternType="solid">
          <fgColor rgb="00CEEAD6"/>
          <bgColor rgb="00CEEAD6"/>
        </patternFill>
      </fill>
    </dxf>
    <dxf>
      <font>
        <name val="Arial"/>
        <b val="1"/>
        <color rgb="00FFFFFF"/>
        <sz val="10"/>
      </font>
      <fill>
        <patternFill patternType="solid">
          <fgColor rgb="001E8E3E"/>
          <bgColor rgb="001E8E3E"/>
        </patternFill>
      </fill>
    </dxf>
    <dxf>
      <font>
        <name val="Arial"/>
        <b val="1"/>
        <color rgb="001F2A24"/>
        <sz val="10"/>
      </font>
      <fill>
        <patternFill patternType="solid">
          <fgColor rgb="00FAD2CF"/>
          <bgColor rgb="00FAD2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Setup</author>
  </authors>
  <commentList>
    <comment ref="D1" authorId="0" shapeId="0">
      <text>
        <t>package-booking | tour-booking | corporate | contact | newsletter | wishlist</t>
      </text>
    </comment>
    <comment ref="P1" authorId="0" shapeId="0">
      <text>
        <t>website | mothersday-2026 | instagram | business-card | …</t>
      </text>
    </comment>
    <comment ref="S1" authorId="0" shapeId="0">
      <text>
        <t>Campaign identifier — e.g. mothers-day-mombasa-2026</t>
      </text>
    </comment>
    <comment ref="C1" authorId="0" shapeId="0">
      <text>
        <t>New | Contacted | Qualified | Booked | Lost</t>
      </text>
    </comment>
    <comment ref="O1" authorId="0" shapeId="0">
      <text>
        <t>Owner of follow-up (a name or email).</t>
      </text>
    </comment>
    <comment ref="AK1" authorId="0" shapeId="0">
      <text>
        <t>Shared slug used to filter package + tour pages together</t>
      </text>
    </comment>
    <comment ref="AA1" authorId="0" shapeId="0">
      <text>
        <t>Resident pricing flag — typically 'yes' or 'no'.</t>
      </text>
    </comment>
    <comment ref="AF1" authorId="0" shapeId="0">
      <text>
        <t>ISO code — KES, USD, EUR, etc.</t>
      </text>
    </comment>
  </commentList>
</comments>
</file>

<file path=xl/comments/comment2.xml><?xml version="1.0" encoding="utf-8"?>
<comments xmlns="http://schemas.openxmlformats.org/spreadsheetml/2006/main">
  <authors>
    <author>Setup</author>
  </authors>
  <commentList>
    <comment ref="A1" authorId="0" shapeId="0">
      <text>
        <t>Auto-filtered view of All Leads where leadType = package-booking. Do not type here — edit rows in All Leads.</t>
      </text>
    </comment>
  </commentList>
</comments>
</file>

<file path=xl/comments/comment3.xml><?xml version="1.0" encoding="utf-8"?>
<comments xmlns="http://schemas.openxmlformats.org/spreadsheetml/2006/main">
  <authors>
    <author>Setup</author>
  </authors>
  <commentList>
    <comment ref="A1" authorId="0" shapeId="0">
      <text>
        <t>Auto-filtered view of All Leads where leadType = tour-booking.</t>
      </text>
    </comment>
  </commentList>
</comments>
</file>

<file path=xl/comments/comment4.xml><?xml version="1.0" encoding="utf-8"?>
<comments xmlns="http://schemas.openxmlformats.org/spreadsheetml/2006/main">
  <authors>
    <author>Setup</author>
  </authors>
  <commentList>
    <comment ref="A1" authorId="0" shapeId="0">
      <text>
        <t>Auto-filtered view of All Leads where leadType = corporate.</t>
      </text>
    </comment>
  </commentList>
</comments>
</file>

<file path=xl/comments/comment5.xml><?xml version="1.0" encoding="utf-8"?>
<comments xmlns="http://schemas.openxmlformats.org/spreadsheetml/2006/main">
  <authors>
    <author>Setup</author>
  </authors>
  <commentList>
    <comment ref="A1" authorId="0" shapeId="0">
      <text>
        <t>Auto-filtered view of All Leads where leadType = newsletter.</t>
      </text>
    </comment>
  </commentList>
</comments>
</file>

<file path=xl/comments/comment6.xml><?xml version="1.0" encoding="utf-8"?>
<comments xmlns="http://schemas.openxmlformats.org/spreadsheetml/2006/main">
  <authors>
    <author>Setup</author>
  </authors>
  <commentList>
    <comment ref="A1" authorId="0" shapeId="0">
      <text>
        <t>Any row with a campaignSlug — useful for measuring Mother's Day, Father's Day,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38" customHeight="1">
      <c r="B2" s="1" t="inlineStr">
        <is>
          <t>Brookshore Safaris — Lead Tracker</t>
        </is>
      </c>
    </row>
    <row r="3" ht="22" customHeight="1">
      <c r="B3" s="2" t="inlineStr">
        <is>
          <t>Lead key &amp; field reference</t>
        </is>
      </c>
    </row>
    <row r="5" ht="26" customHeight="1">
      <c r="B5" s="3" t="inlineStr">
        <is>
          <t>What this tab is</t>
        </is>
      </c>
    </row>
    <row r="6" ht="50" customHeight="1">
      <c r="B6" s="4" t="inlineStr">
        <is>
          <t>A permanent reference for the lead tracker. Use this tab to understand what each field means and how the visible tabs are intended to be used. Day-to-day work should happen in the lead views, not here.</t>
        </is>
      </c>
    </row>
    <row r="8" ht="26" customHeight="1">
      <c r="B8" s="3" t="inlineStr">
        <is>
          <t>Tabs at a glance</t>
        </is>
      </c>
    </row>
    <row r="9">
      <c r="B9" s="4" t="inlineStr">
        <is>
          <t>   •  All Leads  —  Raw system tab that stores every submission.</t>
        </is>
      </c>
    </row>
    <row r="10">
      <c r="B10" s="4" t="inlineStr">
        <is>
          <t>   •  Package Bookings  —  Package-booking view from the raw tab.</t>
        </is>
      </c>
    </row>
    <row r="11">
      <c r="B11" s="4" t="inlineStr">
        <is>
          <t>   •  Tour Bookings  —  Tour-booking view from the raw tab.</t>
        </is>
      </c>
    </row>
    <row r="12">
      <c r="B12" s="4" t="inlineStr">
        <is>
          <t>   •  Corporate Leads  —  Corporate / proposal inquiries.</t>
        </is>
      </c>
    </row>
    <row r="13">
      <c r="B13" s="4" t="inlineStr">
        <is>
          <t>   •  Newsletter  —  Newsletter signups only.</t>
        </is>
      </c>
    </row>
    <row r="14">
      <c r="B14" s="4" t="inlineStr">
        <is>
          <t>   •  Campaign Leads  —  Leads tagged to a campaign or promo.</t>
        </is>
      </c>
    </row>
    <row r="16" ht="26" customHeight="1">
      <c r="B16" s="3" t="inlineStr">
        <is>
          <t>How to use the tracker</t>
        </is>
      </c>
    </row>
    <row r="17">
      <c r="B17" s="4" t="inlineStr">
        <is>
          <t>1.  Start with the leanest lead view that matches what you need to check.</t>
        </is>
      </c>
    </row>
    <row r="18">
      <c r="B18" s="4" t="inlineStr">
        <is>
          <t>2.  Use customer name, phone, and trip details first when following up from mobile.</t>
        </is>
      </c>
    </row>
    <row r="19">
      <c r="B19" s="4" t="inlineStr">
        <is>
          <t>3.  Use Campaign Leads when checking performance of a specific promo.</t>
        </is>
      </c>
    </row>
    <row r="20">
      <c r="B20" s="4" t="inlineStr">
        <is>
          <t>4.  Keep source, slug, and page metadata in the raw system tab for reporting only.</t>
        </is>
      </c>
    </row>
    <row r="21">
      <c r="B21" s="4" t="inlineStr">
        <is>
          <t>5.  Use notes as internal follow-up comments after speaking to the client.</t>
        </is>
      </c>
    </row>
    <row r="22">
      <c r="B22" s="4" t="inlineStr">
        <is>
          <t>6.  Keep the original customer message unchanged for reference.</t>
        </is>
      </c>
    </row>
    <row r="23">
      <c r="B23" s="4"/>
    </row>
    <row r="24">
      <c r="B24" s="4"/>
    </row>
    <row r="25">
      <c r="B25" s="5"/>
    </row>
    <row r="27" ht="26" customHeight="1">
      <c r="B27" s="3" t="inlineStr">
        <is>
          <t>Working notes</t>
        </is>
      </c>
    </row>
    <row r="28" ht="22" customHeight="1">
      <c r="B28" s="4" t="inlineStr">
        <is>
          <t>•  Phone numbers should appear in international format when possible so they are easier to call back from mobile.</t>
        </is>
      </c>
    </row>
    <row r="29" ht="22" customHeight="1">
      <c r="B29" s="4" t="inlineStr">
        <is>
          <t>•  Lead source and campaign fields are for reporting, not for day-to-day client handling.</t>
        </is>
      </c>
    </row>
    <row r="30" ht="22" customHeight="1">
      <c r="B30" s="4" t="inlineStr">
        <is>
          <t>•  Notes are internal; message is the original customer submission.</t>
        </is>
      </c>
    </row>
    <row r="31" ht="22" customHeight="1">
      <c r="B31" s="4" t="inlineStr">
        <is>
          <t>•  Filtered tabs update automatically from the raw tab; never type into them directly.</t>
        </is>
      </c>
    </row>
    <row r="33" ht="26" customHeight="1">
      <c r="B33" s="3" t="inlineStr">
        <is>
          <t>Lead source tracking</t>
        </is>
      </c>
    </row>
    <row r="34" ht="32" customHeight="1">
      <c r="B34" s="4" t="inlineStr">
        <is>
          <t>Every campaign or external link should append ?source=&lt;slug&gt; to its URL. The website forwards that into leadSource (column D) and campaignSlug (column E) so you can answer:</t>
        </is>
      </c>
    </row>
    <row r="35">
      <c r="B35" s="4" t="inlineStr">
        <is>
          <t xml:space="preserve">    →  Which flyer / channel produced the most leads?</t>
        </is>
      </c>
    </row>
    <row r="36">
      <c r="B36" s="4" t="inlineStr">
        <is>
          <t xml:space="preserve">    →  Which package converts best?</t>
        </is>
      </c>
    </row>
    <row r="37">
      <c r="B37" s="4" t="inlineStr">
        <is>
          <t xml:space="preserve">    →  Are special-day campaigns worth repeating?</t>
        </is>
      </c>
    </row>
    <row r="39" ht="26" customHeight="1">
      <c r="B39" s="3" t="inlineStr">
        <is>
          <t>Field reference</t>
        </is>
      </c>
    </row>
    <row r="40">
      <c r="B40" s="4" t="inlineStr">
        <is>
          <t xml:space="preserve">   timestamp  —  When the lead was submitted (ISO from website).</t>
        </is>
      </c>
    </row>
    <row r="41">
      <c r="B41" s="4" t="inlineStr">
        <is>
          <t xml:space="preserve">   leadType  —  Top-level classification — see dropdown.</t>
        </is>
      </c>
    </row>
    <row r="42">
      <c r="B42" s="4" t="inlineStr">
        <is>
          <t xml:space="preserve">   variant  —  Form variant identifier (e.g. school, faith, family).</t>
        </is>
      </c>
    </row>
    <row r="43">
      <c r="B43" s="4" t="inlineStr">
        <is>
          <t xml:space="preserve">   leadSource  —  Where the lead came from.</t>
        </is>
      </c>
    </row>
    <row r="44">
      <c r="B44" s="4" t="inlineStr">
        <is>
          <t xml:space="preserve">   campaignSlug  —  Campaign tag — only set when from a campaign.</t>
        </is>
      </c>
    </row>
    <row r="45">
      <c r="B45" s="4" t="inlineStr">
        <is>
          <t xml:space="preserve">   pagePath / pageUrl  —  Path and full URL the form was submitted from.</t>
        </is>
      </c>
    </row>
    <row r="46">
      <c r="B46" s="4" t="inlineStr">
        <is>
          <t xml:space="preserve">   status  —  Operational state. Edit via dropdown.</t>
        </is>
      </c>
    </row>
    <row r="47">
      <c r="B47" s="4" t="inlineStr">
        <is>
          <t xml:space="preserve">   assignedTo  —  Who owns follow-up.</t>
        </is>
      </c>
    </row>
    <row r="48">
      <c r="B48" s="4" t="inlineStr">
        <is>
          <t xml:space="preserve">   tripReference  —  Free-text reference (legacy / overflow).</t>
        </is>
      </c>
    </row>
    <row r="49">
      <c r="B49" s="4" t="inlineStr">
        <is>
          <t xml:space="preserve">   tripName / tripSlug  —  Trip name and shared slug (works for both packages and tours).</t>
        </is>
      </c>
    </row>
    <row r="50">
      <c r="B50" s="4" t="inlineStr">
        <is>
          <t xml:space="preserve">   packageId / packageSlug  —  Set for package bookings.</t>
        </is>
      </c>
    </row>
    <row r="51">
      <c r="B51" s="4" t="inlineStr">
        <is>
          <t xml:space="preserve">   tourId / tourSlug  —  Set for tour bookings.</t>
        </is>
      </c>
    </row>
    <row r="52">
      <c r="B52" s="4" t="inlineStr">
        <is>
          <t xml:space="preserve">   subject  —  Subject line for contact form leads.</t>
        </is>
      </c>
    </row>
    <row r="53">
      <c r="B53" s="4" t="inlineStr">
        <is>
          <t xml:space="preserve">   name / email / phone  —  Contact details.</t>
        </is>
      </c>
    </row>
    <row r="54">
      <c r="B54" s="4" t="inlineStr">
        <is>
          <t xml:space="preserve">   company  —  Company name (corporate / executive leads).</t>
        </is>
      </c>
    </row>
    <row r="55">
      <c r="B55" s="4" t="inlineStr">
        <is>
          <t xml:space="preserve">   dates  —  Free-text trip dates as submitted.</t>
        </is>
      </c>
    </row>
    <row r="56">
      <c r="B56" s="4" t="inlineStr">
        <is>
          <t xml:space="preserve">   groupSize  —  Total people. Use adults + kids for families.</t>
        </is>
      </c>
    </row>
    <row r="57">
      <c r="B57" s="4" t="inlineStr">
        <is>
          <t xml:space="preserve">   budgetRange / budgetPreference  —  Budget bucket the user chose.</t>
        </is>
      </c>
    </row>
    <row r="58">
      <c r="B58" s="4" t="inlineStr">
        <is>
          <t xml:space="preserve">   startDate / endDate  —  Structured trip dates if provided.</t>
        </is>
      </c>
    </row>
    <row r="59">
      <c r="B59" s="4" t="inlineStr">
        <is>
          <t xml:space="preserve">   tripDays  —  Trip duration in days.</t>
        </is>
      </c>
    </row>
    <row r="60">
      <c r="B60" s="4" t="inlineStr">
        <is>
          <t xml:space="preserve">   adults / kids  —  Family / group breakdown.</t>
        </is>
      </c>
    </row>
    <row r="61">
      <c r="B61" s="4" t="inlineStr">
        <is>
          <t xml:space="preserve">   travelMonth  —  Preferred travel month.</t>
        </is>
      </c>
    </row>
    <row r="62">
      <c r="B62" s="4" t="inlineStr">
        <is>
          <t xml:space="preserve">   startingCity  —  Departure city.</t>
        </is>
      </c>
    </row>
    <row r="63">
      <c r="B63" s="4" t="inlineStr">
        <is>
          <t xml:space="preserve">   airportTransfers  —  Yes/No — needs airport transfers.</t>
        </is>
      </c>
    </row>
    <row r="64">
      <c r="B64" s="4" t="inlineStr">
        <is>
          <t xml:space="preserve">   accommodationTier  —  Standard / Comfort / Luxury, etc.</t>
        </is>
      </c>
    </row>
    <row r="65">
      <c r="B65" s="4" t="inlineStr">
        <is>
          <t xml:space="preserve">   isResident  —  Resident pricing flag.</t>
        </is>
      </c>
    </row>
    <row r="66">
      <c r="B66" s="4" t="inlineStr">
        <is>
          <t xml:space="preserve">   experiences  —  Selected experiences / add-ons.</t>
        </is>
      </c>
    </row>
    <row r="67">
      <c r="B67" s="4" t="inlineStr">
        <is>
          <t xml:space="preserve">   estimateFrom / estimateTo / currency  —  Price estimate range as shown to user.</t>
        </is>
      </c>
    </row>
    <row r="68">
      <c r="B68" s="4" t="inlineStr">
        <is>
          <t xml:space="preserve">   message  —  Original message from the user — do not edit.</t>
        </is>
      </c>
    </row>
    <row r="69">
      <c r="B69" s="4" t="inlineStr">
        <is>
          <t xml:space="preserve">   notes  —  Internal follow-up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O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min="1" max="1" customWidth="1" width="22"/>
    <col min="2" max="2" customWidth="1" width="16"/>
    <col min="3" max="3" customWidth="1" width="14"/>
    <col min="4" max="4" customWidth="1" width="18"/>
    <col min="5" max="5" customWidth="1" width="24"/>
    <col min="6" max="6" customWidth="1" width="13"/>
    <col min="7" max="7" customWidth="1" width="13"/>
    <col min="8" max="8" customWidth="1" width="10"/>
    <col min="9" max="9" customWidth="1" width="10"/>
    <col min="10" max="10" customWidth="1" width="12"/>
    <col min="11" max="11" customWidth="1" width="28"/>
    <col min="12" max="12" customWidth="1" width="24"/>
    <col min="13" max="13" customWidth="1" width="20"/>
    <col min="14" max="14" customWidth="1" width="28"/>
    <col min="15" max="15" customWidth="1" width="16"/>
    <col min="16" max="16" customWidth="1" width="18"/>
    <col min="17" max="17" customWidth="1" width="20"/>
    <col min="18" max="18" customWidth="1" width="14" hidden="1"/>
    <col min="19" max="19" customWidth="1" width="14" hidden="1"/>
    <col min="20" max="20" customWidth="1" width="14" hidden="1"/>
    <col min="21" max="21" customWidth="1" width="14" hidden="1"/>
    <col min="22" max="22" customWidth="1" width="14" hidden="1"/>
    <col min="23" max="23" customWidth="1" width="14" hidden="1"/>
    <col min="24" max="24" customWidth="1" width="14" hidden="1"/>
    <col min="25" max="25" customWidth="1" width="14" hidden="1"/>
    <col min="26" max="26" customWidth="1" width="14" hidden="1"/>
    <col min="27" max="27" customWidth="1" width="14" hidden="1"/>
    <col min="28" max="28" customWidth="1" width="14" hidden="1"/>
    <col min="29" max="29" customWidth="1" width="14" hidden="1"/>
    <col min="30" max="30" customWidth="1" width="14" hidden="1"/>
    <col min="31" max="31" customWidth="1" width="14" hidden="1"/>
    <col min="32" max="32" customWidth="1" width="14" hidden="1"/>
    <col min="33" max="33" customWidth="1" width="14" hidden="1"/>
    <col min="34" max="34" customWidth="1" width="14" hidden="1"/>
    <col min="35" max="35" customWidth="1" width="14" hidden="1"/>
    <col min="36" max="36" customWidth="1" width="14" hidden="1"/>
    <col min="37" max="37" customWidth="1" width="14" hidden="1"/>
    <col min="38" max="38" customWidth="1" width="14" hidden="1"/>
    <col min="39" max="39" customWidth="1" width="14" hidden="1"/>
    <col min="40" max="40" customWidth="1" width="14" hidden="1"/>
    <col min="41" max="41" customWidth="1" width="14" hidden="1"/>
  </cols>
  <sheetData>
    <row r="1" ht="32" customHeight="1" spans="1:41">
      <c r="A1" s="6" t="inlineStr">
        <is>
          <t>name</t>
        </is>
      </c>
      <c r="B1" s="6" t="inlineStr">
        <is>
          <t>phone</t>
        </is>
      </c>
      <c r="C1" s="6" t="inlineStr">
        <is>
          <t>status</t>
        </is>
      </c>
      <c r="D1" s="6" t="inlineStr">
        <is>
          <t>leadType</t>
        </is>
      </c>
      <c r="E1" s="6" t="inlineStr">
        <is>
          <t>tripName</t>
        </is>
      </c>
      <c r="F1" s="6" t="inlineStr">
        <is>
          <t>startDate</t>
        </is>
      </c>
      <c r="G1" s="6" t="inlineStr">
        <is>
          <t>endDate</t>
        </is>
      </c>
      <c r="H1" s="6" t="inlineStr">
        <is>
          <t>adults</t>
        </is>
      </c>
      <c r="I1" s="6" t="inlineStr">
        <is>
          <t>kids</t>
        </is>
      </c>
      <c r="J1" s="6" t="inlineStr">
        <is>
          <t>groupSize</t>
        </is>
      </c>
      <c r="K1" s="6" t="inlineStr">
        <is>
          <t>notes</t>
        </is>
      </c>
      <c r="L1" s="6" t="inlineStr">
        <is>
          <t>email</t>
        </is>
      </c>
      <c r="M1" s="6" t="inlineStr">
        <is>
          <t>company</t>
        </is>
      </c>
      <c r="N1" s="6" t="inlineStr">
        <is>
          <t>message</t>
        </is>
      </c>
      <c r="O1" s="6" t="inlineStr">
        <is>
          <t>assignedTo</t>
        </is>
      </c>
      <c r="P1" s="6" t="inlineStr">
        <is>
          <t>leadSource</t>
        </is>
      </c>
      <c r="Q1" s="6" t="inlineStr">
        <is>
          <t>timestamp</t>
        </is>
      </c>
      <c r="R1" s="6" t="inlineStr">
        <is>
          <t>variant</t>
        </is>
      </c>
      <c r="S1" s="6" t="inlineStr">
        <is>
          <t>campaignSlug</t>
        </is>
      </c>
      <c r="T1" s="6" t="inlineStr">
        <is>
          <t>dates</t>
        </is>
      </c>
      <c r="U1" s="6" t="inlineStr">
        <is>
          <t>budgetRange</t>
        </is>
      </c>
      <c r="V1" s="6" t="inlineStr">
        <is>
          <t>tripDays</t>
        </is>
      </c>
      <c r="W1" s="6" t="inlineStr">
        <is>
          <t>travelMonth</t>
        </is>
      </c>
      <c r="X1" s="6" t="inlineStr">
        <is>
          <t>startingCity</t>
        </is>
      </c>
      <c r="Y1" s="6" t="inlineStr">
        <is>
          <t>airportTransfers</t>
        </is>
      </c>
      <c r="Z1" s="6" t="inlineStr">
        <is>
          <t>accommodationTier</t>
        </is>
      </c>
      <c r="AA1" s="6" t="inlineStr">
        <is>
          <t>isResident</t>
        </is>
      </c>
      <c r="AB1" s="6" t="inlineStr">
        <is>
          <t>experiences</t>
        </is>
      </c>
      <c r="AC1" s="6" t="inlineStr">
        <is>
          <t>budgetPreference</t>
        </is>
      </c>
      <c r="AD1" s="6" t="inlineStr">
        <is>
          <t>estimateFrom</t>
        </is>
      </c>
      <c r="AE1" s="6" t="inlineStr">
        <is>
          <t>estimateTo</t>
        </is>
      </c>
      <c r="AF1" s="6" t="inlineStr">
        <is>
          <t>currency</t>
        </is>
      </c>
      <c r="AG1" s="6" t="inlineStr">
        <is>
          <t>pagePath</t>
        </is>
      </c>
      <c r="AH1" s="6" t="inlineStr">
        <is>
          <t>pageUrl</t>
        </is>
      </c>
      <c r="AI1" s="6" t="inlineStr">
        <is>
          <t>subject</t>
        </is>
      </c>
      <c r="AJ1" s="6" t="inlineStr">
        <is>
          <t>tripReference</t>
        </is>
      </c>
      <c r="AK1" s="6" t="inlineStr">
        <is>
          <t>tripSlug</t>
        </is>
      </c>
      <c r="AL1" s="6" t="inlineStr">
        <is>
          <t>packageId</t>
        </is>
      </c>
      <c r="AM1" s="6" t="inlineStr">
        <is>
          <t>packageSlug</t>
        </is>
      </c>
      <c r="AN1" s="6" t="inlineStr">
        <is>
          <t>tourId</t>
        </is>
      </c>
      <c r="AO1" s="6" t="inlineStr">
        <is>
          <t>tourSlug</t>
        </is>
      </c>
    </row>
  </sheetData>
  <autoFilter ref="A1:Q1"/>
  <conditionalFormatting sqref="C2:C10000">
    <cfRule type="cellIs" priority="1" operator="equal" dxfId="0">
      <formula>"New"</formula>
    </cfRule>
    <cfRule type="cellIs" priority="2" operator="equal" dxfId="1">
      <formula>"Contacted"</formula>
    </cfRule>
    <cfRule type="cellIs" priority="3" operator="equal" dxfId="2">
      <formula>"Qualified"</formula>
    </cfRule>
    <cfRule type="cellIs" priority="4" operator="equal" dxfId="3">
      <formula>"Booked"</formula>
    </cfRule>
    <cfRule type="cellIs" priority="5" operator="equal" dxfId="4">
      <formula>"Lost"</formula>
    </cfRule>
  </conditionalFormatting>
  <dataValidations count="5">
    <dataValidation sqref="D2:D10000" showDropDown="0" showInputMessage="0" showErrorMessage="0" allowBlank="1" errorTitle="Invalid lead type" error="Pick a lead type from the list." type="list">
      <formula1>"package-booking,tour-booking,corporate,contact,newsletter,wishlist"</formula1>
    </dataValidation>
    <dataValidation sqref="C2:C10000" showDropDown="0" showInputMessage="0" showErrorMessage="0" allowBlank="1" errorTitle="Invalid status" error="Pick a status from the list." type="list">
      <formula1>"New,Contacted,Qualified,Booked,Lost"</formula1>
    </dataValidation>
    <dataValidation sqref="AA2:AA10000" showDropDown="0" showInputMessage="0" showErrorMessage="0" allowBlank="1" type="list">
      <formula1>"yes,no"</formula1>
    </dataValidation>
    <dataValidation sqref="Y2:Y10000" showDropDown="0" showInputMessage="0" showErrorMessage="0" allowBlank="1" type="list">
      <formula1>"yes,no"</formula1>
    </dataValidation>
    <dataValidation sqref="Z2:Z10000" showDropDown="0" showInputMessage="0" showErrorMessage="0" allowBlank="1" type="list">
      <formula1>"Standard,Comfort,Premium,Luxury"</formula1>
    </dataValidation>
  </dataValidations>
  <pageMargins left="0.75" right="0.75" top="1" bottom="1" header="0.5" footer="0.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8" customWidth="1" min="4" max="4"/>
    <col width="24" customWidth="1" min="5" max="5"/>
    <col width="24" customWidth="1" min="6" max="6"/>
    <col width="32" customWidth="1" min="7" max="7"/>
    <col width="13" customWidth="1" min="8" max="8"/>
    <col width="14" customWidth="1" min="9" max="9"/>
    <col width="16" customWidth="1" min="10" max="10"/>
    <col width="24" customWidth="1" min="11" max="11"/>
    <col width="20" customWidth="1" min="12" max="12"/>
    <col width="14" customWidth="1" min="13" max="13"/>
    <col width="20" customWidth="1" min="14" max="14"/>
    <col width="12" customWidth="1" min="15" max="15"/>
    <col width="20" customWidth="1" min="16" max="16"/>
    <col width="24" customWidth="1" min="17" max="17"/>
    <col width="20" customWidth="1" min="18" max="18"/>
    <col width="28" customWidth="1" min="19" max="19"/>
    <col width="16" customWidth="1" min="20" max="20"/>
    <col width="20" customWidth="1" min="21" max="21"/>
    <col width="16" customWidth="1" min="22" max="22"/>
    <col width="11" customWidth="1" min="23" max="23"/>
    <col width="14" customWidth="1" min="24" max="24"/>
    <col width="12" customWidth="1" min="25" max="25"/>
    <col width="12" customWidth="1" min="26" max="26"/>
    <col width="10" customWidth="1" min="27" max="27"/>
    <col width="9" customWidth="1" min="28" max="28"/>
    <col width="9" customWidth="1" min="29" max="29"/>
    <col width="13" customWidth="1" min="30" max="30"/>
    <col width="14" customWidth="1" min="31" max="31"/>
    <col width="16" customWidth="1" min="32" max="32"/>
    <col width="18" customWidth="1" min="33" max="33"/>
    <col width="11" customWidth="1" min="34" max="34"/>
    <col width="24" customWidth="1" min="35" max="35"/>
    <col width="16" customWidth="1" min="36" max="36"/>
    <col width="13" customWidth="1" min="37" max="37"/>
    <col width="13" customWidth="1" min="38" max="38"/>
    <col width="10" customWidth="1" min="39" max="39"/>
    <col width="38" customWidth="1" min="40" max="40"/>
    <col width="30" customWidth="1" min="41" max="41"/>
  </cols>
  <sheetData>
    <row r="1" ht="32" customHeight="1">
      <c r="A1" s="7" t="inlineStr">
        <is>
          <t>timestamp</t>
        </is>
      </c>
      <c r="B1" s="7" t="inlineStr">
        <is>
          <t>leadType</t>
        </is>
      </c>
      <c r="C1" s="7" t="inlineStr">
        <is>
          <t>variant</t>
        </is>
      </c>
      <c r="D1" s="7" t="inlineStr">
        <is>
          <t>leadSource</t>
        </is>
      </c>
      <c r="E1" s="7" t="inlineStr">
        <is>
          <t>campaignSlug</t>
        </is>
      </c>
      <c r="F1" s="7" t="inlineStr">
        <is>
          <t>pagePath</t>
        </is>
      </c>
      <c r="G1" s="7" t="inlineStr">
        <is>
          <t>pageUrl</t>
        </is>
      </c>
      <c r="H1" s="7" t="inlineStr">
        <is>
          <t>status</t>
        </is>
      </c>
      <c r="I1" s="7" t="inlineStr">
        <is>
          <t>assignedTo</t>
        </is>
      </c>
      <c r="J1" s="7" t="inlineStr">
        <is>
          <t>tripReference</t>
        </is>
      </c>
      <c r="K1" s="7" t="inlineStr">
        <is>
          <t>tripName</t>
        </is>
      </c>
      <c r="L1" s="7" t="inlineStr">
        <is>
          <t>tripSlug</t>
        </is>
      </c>
      <c r="M1" s="7" t="inlineStr">
        <is>
          <t>packageId</t>
        </is>
      </c>
      <c r="N1" s="7" t="inlineStr">
        <is>
          <t>packageSlug</t>
        </is>
      </c>
      <c r="O1" s="7" t="inlineStr">
        <is>
          <t>tourId</t>
        </is>
      </c>
      <c r="P1" s="7" t="inlineStr">
        <is>
          <t>tourSlug</t>
        </is>
      </c>
      <c r="Q1" s="7" t="inlineStr">
        <is>
          <t>subject</t>
        </is>
      </c>
      <c r="R1" s="7" t="inlineStr">
        <is>
          <t>name</t>
        </is>
      </c>
      <c r="S1" s="7" t="inlineStr">
        <is>
          <t>email</t>
        </is>
      </c>
      <c r="T1" s="7" t="inlineStr">
        <is>
          <t>phone</t>
        </is>
      </c>
      <c r="U1" s="7" t="inlineStr">
        <is>
          <t>company</t>
        </is>
      </c>
      <c r="V1" s="7" t="inlineStr">
        <is>
          <t>dates</t>
        </is>
      </c>
      <c r="W1" s="7" t="inlineStr">
        <is>
          <t>groupSize</t>
        </is>
      </c>
      <c r="X1" s="7" t="inlineStr">
        <is>
          <t>budgetRange</t>
        </is>
      </c>
      <c r="Y1" s="7" t="inlineStr">
        <is>
          <t>startDate</t>
        </is>
      </c>
      <c r="Z1" s="7" t="inlineStr">
        <is>
          <t>endDate</t>
        </is>
      </c>
      <c r="AA1" s="7" t="inlineStr">
        <is>
          <t>tripDays</t>
        </is>
      </c>
      <c r="AB1" s="7" t="inlineStr">
        <is>
          <t>adults</t>
        </is>
      </c>
      <c r="AC1" s="7" t="inlineStr">
        <is>
          <t>kids</t>
        </is>
      </c>
      <c r="AD1" s="7" t="inlineStr">
        <is>
          <t>travelMonth</t>
        </is>
      </c>
      <c r="AE1" s="7" t="inlineStr">
        <is>
          <t>startingCity</t>
        </is>
      </c>
      <c r="AF1" s="7" t="inlineStr">
        <is>
          <t>airportTransfers</t>
        </is>
      </c>
      <c r="AG1" s="7" t="inlineStr">
        <is>
          <t>accommodationTier</t>
        </is>
      </c>
      <c r="AH1" s="7" t="inlineStr">
        <is>
          <t>isResident</t>
        </is>
      </c>
      <c r="AI1" s="7" t="inlineStr">
        <is>
          <t>experiences</t>
        </is>
      </c>
      <c r="AJ1" s="7" t="inlineStr">
        <is>
          <t>budgetPreference</t>
        </is>
      </c>
      <c r="AK1" s="7" t="inlineStr">
        <is>
          <t>estimateFrom</t>
        </is>
      </c>
      <c r="AL1" s="7" t="inlineStr">
        <is>
          <t>estimateTo</t>
        </is>
      </c>
      <c r="AM1" s="7" t="inlineStr">
        <is>
          <t>currency</t>
        </is>
      </c>
      <c r="AN1" s="7" t="inlineStr">
        <is>
          <t>message</t>
        </is>
      </c>
      <c r="AO1" s="7" t="inlineStr">
        <is>
          <t>notes</t>
        </is>
      </c>
    </row>
    <row r="2">
      <c r="A2">
        <f>IFERROR(FILTER('All Leads'!A2:AO, 'All Leads'!B2:B="package-booking"), "")</f>
        <v/>
      </c>
    </row>
  </sheetData>
  <conditionalFormatting sqref="H2:H10000">
    <cfRule type="cellIs" priority="1" operator="equal" dxfId="0">
      <formula>"New"</formula>
    </cfRule>
    <cfRule type="cellIs" priority="2" operator="equal" dxfId="1">
      <formula>"Contacted"</formula>
    </cfRule>
    <cfRule type="cellIs" priority="3" operator="equal" dxfId="2">
      <formula>"Qualified"</formula>
    </cfRule>
    <cfRule type="cellIs" priority="4" operator="equal" dxfId="3">
      <formula>"Booked"</formula>
    </cfRule>
    <cfRule type="cellIs" priority="5" operator="equal" dxfId="4">
      <formula>"Lost"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8" customWidth="1" min="4" max="4"/>
    <col width="24" customWidth="1" min="5" max="5"/>
    <col width="24" customWidth="1" min="6" max="6"/>
    <col width="32" customWidth="1" min="7" max="7"/>
    <col width="13" customWidth="1" min="8" max="8"/>
    <col width="14" customWidth="1" min="9" max="9"/>
    <col width="16" customWidth="1" min="10" max="10"/>
    <col width="24" customWidth="1" min="11" max="11"/>
    <col width="20" customWidth="1" min="12" max="12"/>
    <col width="14" customWidth="1" min="13" max="13"/>
    <col width="20" customWidth="1" min="14" max="14"/>
    <col width="12" customWidth="1" min="15" max="15"/>
    <col width="20" customWidth="1" min="16" max="16"/>
    <col width="24" customWidth="1" min="17" max="17"/>
    <col width="20" customWidth="1" min="18" max="18"/>
    <col width="28" customWidth="1" min="19" max="19"/>
    <col width="16" customWidth="1" min="20" max="20"/>
    <col width="20" customWidth="1" min="21" max="21"/>
    <col width="16" customWidth="1" min="22" max="22"/>
    <col width="11" customWidth="1" min="23" max="23"/>
    <col width="14" customWidth="1" min="24" max="24"/>
    <col width="12" customWidth="1" min="25" max="25"/>
    <col width="12" customWidth="1" min="26" max="26"/>
    <col width="10" customWidth="1" min="27" max="27"/>
    <col width="9" customWidth="1" min="28" max="28"/>
    <col width="9" customWidth="1" min="29" max="29"/>
    <col width="13" customWidth="1" min="30" max="30"/>
    <col width="14" customWidth="1" min="31" max="31"/>
    <col width="16" customWidth="1" min="32" max="32"/>
    <col width="18" customWidth="1" min="33" max="33"/>
    <col width="11" customWidth="1" min="34" max="34"/>
    <col width="24" customWidth="1" min="35" max="35"/>
    <col width="16" customWidth="1" min="36" max="36"/>
    <col width="13" customWidth="1" min="37" max="37"/>
    <col width="13" customWidth="1" min="38" max="38"/>
    <col width="10" customWidth="1" min="39" max="39"/>
    <col width="38" customWidth="1" min="40" max="40"/>
    <col width="30" customWidth="1" min="41" max="41"/>
  </cols>
  <sheetData>
    <row r="1" ht="32" customHeight="1">
      <c r="A1" s="7" t="inlineStr">
        <is>
          <t>timestamp</t>
        </is>
      </c>
      <c r="B1" s="7" t="inlineStr">
        <is>
          <t>leadType</t>
        </is>
      </c>
      <c r="C1" s="7" t="inlineStr">
        <is>
          <t>variant</t>
        </is>
      </c>
      <c r="D1" s="7" t="inlineStr">
        <is>
          <t>leadSource</t>
        </is>
      </c>
      <c r="E1" s="7" t="inlineStr">
        <is>
          <t>campaignSlug</t>
        </is>
      </c>
      <c r="F1" s="7" t="inlineStr">
        <is>
          <t>pagePath</t>
        </is>
      </c>
      <c r="G1" s="7" t="inlineStr">
        <is>
          <t>pageUrl</t>
        </is>
      </c>
      <c r="H1" s="7" t="inlineStr">
        <is>
          <t>status</t>
        </is>
      </c>
      <c r="I1" s="7" t="inlineStr">
        <is>
          <t>assignedTo</t>
        </is>
      </c>
      <c r="J1" s="7" t="inlineStr">
        <is>
          <t>tripReference</t>
        </is>
      </c>
      <c r="K1" s="7" t="inlineStr">
        <is>
          <t>tripName</t>
        </is>
      </c>
      <c r="L1" s="7" t="inlineStr">
        <is>
          <t>tripSlug</t>
        </is>
      </c>
      <c r="M1" s="7" t="inlineStr">
        <is>
          <t>packageId</t>
        </is>
      </c>
      <c r="N1" s="7" t="inlineStr">
        <is>
          <t>packageSlug</t>
        </is>
      </c>
      <c r="O1" s="7" t="inlineStr">
        <is>
          <t>tourId</t>
        </is>
      </c>
      <c r="P1" s="7" t="inlineStr">
        <is>
          <t>tourSlug</t>
        </is>
      </c>
      <c r="Q1" s="7" t="inlineStr">
        <is>
          <t>subject</t>
        </is>
      </c>
      <c r="R1" s="7" t="inlineStr">
        <is>
          <t>name</t>
        </is>
      </c>
      <c r="S1" s="7" t="inlineStr">
        <is>
          <t>email</t>
        </is>
      </c>
      <c r="T1" s="7" t="inlineStr">
        <is>
          <t>phone</t>
        </is>
      </c>
      <c r="U1" s="7" t="inlineStr">
        <is>
          <t>company</t>
        </is>
      </c>
      <c r="V1" s="7" t="inlineStr">
        <is>
          <t>dates</t>
        </is>
      </c>
      <c r="W1" s="7" t="inlineStr">
        <is>
          <t>groupSize</t>
        </is>
      </c>
      <c r="X1" s="7" t="inlineStr">
        <is>
          <t>budgetRange</t>
        </is>
      </c>
      <c r="Y1" s="7" t="inlineStr">
        <is>
          <t>startDate</t>
        </is>
      </c>
      <c r="Z1" s="7" t="inlineStr">
        <is>
          <t>endDate</t>
        </is>
      </c>
      <c r="AA1" s="7" t="inlineStr">
        <is>
          <t>tripDays</t>
        </is>
      </c>
      <c r="AB1" s="7" t="inlineStr">
        <is>
          <t>adults</t>
        </is>
      </c>
      <c r="AC1" s="7" t="inlineStr">
        <is>
          <t>kids</t>
        </is>
      </c>
      <c r="AD1" s="7" t="inlineStr">
        <is>
          <t>travelMonth</t>
        </is>
      </c>
      <c r="AE1" s="7" t="inlineStr">
        <is>
          <t>startingCity</t>
        </is>
      </c>
      <c r="AF1" s="7" t="inlineStr">
        <is>
          <t>airportTransfers</t>
        </is>
      </c>
      <c r="AG1" s="7" t="inlineStr">
        <is>
          <t>accommodationTier</t>
        </is>
      </c>
      <c r="AH1" s="7" t="inlineStr">
        <is>
          <t>isResident</t>
        </is>
      </c>
      <c r="AI1" s="7" t="inlineStr">
        <is>
          <t>experiences</t>
        </is>
      </c>
      <c r="AJ1" s="7" t="inlineStr">
        <is>
          <t>budgetPreference</t>
        </is>
      </c>
      <c r="AK1" s="7" t="inlineStr">
        <is>
          <t>estimateFrom</t>
        </is>
      </c>
      <c r="AL1" s="7" t="inlineStr">
        <is>
          <t>estimateTo</t>
        </is>
      </c>
      <c r="AM1" s="7" t="inlineStr">
        <is>
          <t>currency</t>
        </is>
      </c>
      <c r="AN1" s="7" t="inlineStr">
        <is>
          <t>message</t>
        </is>
      </c>
      <c r="AO1" s="7" t="inlineStr">
        <is>
          <t>notes</t>
        </is>
      </c>
    </row>
    <row r="2">
      <c r="A2">
        <f>IFERROR(FILTER('All Leads'!A2:AO, 'All Leads'!B2:B="tour-booking"), "")</f>
        <v/>
      </c>
    </row>
  </sheetData>
  <conditionalFormatting sqref="H2:H10000">
    <cfRule type="cellIs" priority="1" operator="equal" dxfId="0">
      <formula>"New"</formula>
    </cfRule>
    <cfRule type="cellIs" priority="2" operator="equal" dxfId="1">
      <formula>"Contacted"</formula>
    </cfRule>
    <cfRule type="cellIs" priority="3" operator="equal" dxfId="2">
      <formula>"Qualified"</formula>
    </cfRule>
    <cfRule type="cellIs" priority="4" operator="equal" dxfId="3">
      <formula>"Booked"</formula>
    </cfRule>
    <cfRule type="cellIs" priority="5" operator="equal" dxfId="4">
      <formula>"Lost"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8" customWidth="1" min="4" max="4"/>
    <col width="24" customWidth="1" min="5" max="5"/>
    <col width="24" customWidth="1" min="6" max="6"/>
    <col width="32" customWidth="1" min="7" max="7"/>
    <col width="13" customWidth="1" min="8" max="8"/>
    <col width="14" customWidth="1" min="9" max="9"/>
    <col width="16" customWidth="1" min="10" max="10"/>
    <col width="24" customWidth="1" min="11" max="11"/>
    <col width="20" customWidth="1" min="12" max="12"/>
    <col width="14" customWidth="1" min="13" max="13"/>
    <col width="20" customWidth="1" min="14" max="14"/>
    <col width="12" customWidth="1" min="15" max="15"/>
    <col width="20" customWidth="1" min="16" max="16"/>
    <col width="24" customWidth="1" min="17" max="17"/>
    <col width="20" customWidth="1" min="18" max="18"/>
    <col width="28" customWidth="1" min="19" max="19"/>
    <col width="16" customWidth="1" min="20" max="20"/>
    <col width="20" customWidth="1" min="21" max="21"/>
    <col width="16" customWidth="1" min="22" max="22"/>
    <col width="11" customWidth="1" min="23" max="23"/>
    <col width="14" customWidth="1" min="24" max="24"/>
    <col width="12" customWidth="1" min="25" max="25"/>
    <col width="12" customWidth="1" min="26" max="26"/>
    <col width="10" customWidth="1" min="27" max="27"/>
    <col width="9" customWidth="1" min="28" max="28"/>
    <col width="9" customWidth="1" min="29" max="29"/>
    <col width="13" customWidth="1" min="30" max="30"/>
    <col width="14" customWidth="1" min="31" max="31"/>
    <col width="16" customWidth="1" min="32" max="32"/>
    <col width="18" customWidth="1" min="33" max="33"/>
    <col width="11" customWidth="1" min="34" max="34"/>
    <col width="24" customWidth="1" min="35" max="35"/>
    <col width="16" customWidth="1" min="36" max="36"/>
    <col width="13" customWidth="1" min="37" max="37"/>
    <col width="13" customWidth="1" min="38" max="38"/>
    <col width="10" customWidth="1" min="39" max="39"/>
    <col width="38" customWidth="1" min="40" max="40"/>
    <col width="30" customWidth="1" min="41" max="41"/>
  </cols>
  <sheetData>
    <row r="1" ht="32" customHeight="1">
      <c r="A1" s="7" t="inlineStr">
        <is>
          <t>timestamp</t>
        </is>
      </c>
      <c r="B1" s="7" t="inlineStr">
        <is>
          <t>leadType</t>
        </is>
      </c>
      <c r="C1" s="7" t="inlineStr">
        <is>
          <t>variant</t>
        </is>
      </c>
      <c r="D1" s="7" t="inlineStr">
        <is>
          <t>leadSource</t>
        </is>
      </c>
      <c r="E1" s="7" t="inlineStr">
        <is>
          <t>campaignSlug</t>
        </is>
      </c>
      <c r="F1" s="7" t="inlineStr">
        <is>
          <t>pagePath</t>
        </is>
      </c>
      <c r="G1" s="7" t="inlineStr">
        <is>
          <t>pageUrl</t>
        </is>
      </c>
      <c r="H1" s="7" t="inlineStr">
        <is>
          <t>status</t>
        </is>
      </c>
      <c r="I1" s="7" t="inlineStr">
        <is>
          <t>assignedTo</t>
        </is>
      </c>
      <c r="J1" s="7" t="inlineStr">
        <is>
          <t>tripReference</t>
        </is>
      </c>
      <c r="K1" s="7" t="inlineStr">
        <is>
          <t>tripName</t>
        </is>
      </c>
      <c r="L1" s="7" t="inlineStr">
        <is>
          <t>tripSlug</t>
        </is>
      </c>
      <c r="M1" s="7" t="inlineStr">
        <is>
          <t>packageId</t>
        </is>
      </c>
      <c r="N1" s="7" t="inlineStr">
        <is>
          <t>packageSlug</t>
        </is>
      </c>
      <c r="O1" s="7" t="inlineStr">
        <is>
          <t>tourId</t>
        </is>
      </c>
      <c r="P1" s="7" t="inlineStr">
        <is>
          <t>tourSlug</t>
        </is>
      </c>
      <c r="Q1" s="7" t="inlineStr">
        <is>
          <t>subject</t>
        </is>
      </c>
      <c r="R1" s="7" t="inlineStr">
        <is>
          <t>name</t>
        </is>
      </c>
      <c r="S1" s="7" t="inlineStr">
        <is>
          <t>email</t>
        </is>
      </c>
      <c r="T1" s="7" t="inlineStr">
        <is>
          <t>phone</t>
        </is>
      </c>
      <c r="U1" s="7" t="inlineStr">
        <is>
          <t>company</t>
        </is>
      </c>
      <c r="V1" s="7" t="inlineStr">
        <is>
          <t>dates</t>
        </is>
      </c>
      <c r="W1" s="7" t="inlineStr">
        <is>
          <t>groupSize</t>
        </is>
      </c>
      <c r="X1" s="7" t="inlineStr">
        <is>
          <t>budgetRange</t>
        </is>
      </c>
      <c r="Y1" s="7" t="inlineStr">
        <is>
          <t>startDate</t>
        </is>
      </c>
      <c r="Z1" s="7" t="inlineStr">
        <is>
          <t>endDate</t>
        </is>
      </c>
      <c r="AA1" s="7" t="inlineStr">
        <is>
          <t>tripDays</t>
        </is>
      </c>
      <c r="AB1" s="7" t="inlineStr">
        <is>
          <t>adults</t>
        </is>
      </c>
      <c r="AC1" s="7" t="inlineStr">
        <is>
          <t>kids</t>
        </is>
      </c>
      <c r="AD1" s="7" t="inlineStr">
        <is>
          <t>travelMonth</t>
        </is>
      </c>
      <c r="AE1" s="7" t="inlineStr">
        <is>
          <t>startingCity</t>
        </is>
      </c>
      <c r="AF1" s="7" t="inlineStr">
        <is>
          <t>airportTransfers</t>
        </is>
      </c>
      <c r="AG1" s="7" t="inlineStr">
        <is>
          <t>accommodationTier</t>
        </is>
      </c>
      <c r="AH1" s="7" t="inlineStr">
        <is>
          <t>isResident</t>
        </is>
      </c>
      <c r="AI1" s="7" t="inlineStr">
        <is>
          <t>experiences</t>
        </is>
      </c>
      <c r="AJ1" s="7" t="inlineStr">
        <is>
          <t>budgetPreference</t>
        </is>
      </c>
      <c r="AK1" s="7" t="inlineStr">
        <is>
          <t>estimateFrom</t>
        </is>
      </c>
      <c r="AL1" s="7" t="inlineStr">
        <is>
          <t>estimateTo</t>
        </is>
      </c>
      <c r="AM1" s="7" t="inlineStr">
        <is>
          <t>currency</t>
        </is>
      </c>
      <c r="AN1" s="7" t="inlineStr">
        <is>
          <t>message</t>
        </is>
      </c>
      <c r="AO1" s="7" t="inlineStr">
        <is>
          <t>notes</t>
        </is>
      </c>
    </row>
    <row r="2">
      <c r="A2">
        <f>IFERROR(FILTER('All Leads'!A2:AO, 'All Leads'!B2:B="corporate"), "")</f>
        <v/>
      </c>
    </row>
  </sheetData>
  <conditionalFormatting sqref="H2:H10000">
    <cfRule type="cellIs" priority="1" operator="equal" dxfId="0">
      <formula>"New"</formula>
    </cfRule>
    <cfRule type="cellIs" priority="2" operator="equal" dxfId="1">
      <formula>"Contacted"</formula>
    </cfRule>
    <cfRule type="cellIs" priority="3" operator="equal" dxfId="2">
      <formula>"Qualified"</formula>
    </cfRule>
    <cfRule type="cellIs" priority="4" operator="equal" dxfId="3">
      <formula>"Booked"</formula>
    </cfRule>
    <cfRule type="cellIs" priority="5" operator="equal" dxfId="4">
      <formula>"Lost"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8" customWidth="1" min="4" max="4"/>
    <col width="24" customWidth="1" min="5" max="5"/>
    <col width="24" customWidth="1" min="6" max="6"/>
    <col width="32" customWidth="1" min="7" max="7"/>
    <col width="13" customWidth="1" min="8" max="8"/>
    <col width="14" customWidth="1" min="9" max="9"/>
    <col width="16" customWidth="1" min="10" max="10"/>
    <col width="24" customWidth="1" min="11" max="11"/>
    <col width="20" customWidth="1" min="12" max="12"/>
    <col width="14" customWidth="1" min="13" max="13"/>
    <col width="20" customWidth="1" min="14" max="14"/>
    <col width="12" customWidth="1" min="15" max="15"/>
    <col width="20" customWidth="1" min="16" max="16"/>
    <col width="24" customWidth="1" min="17" max="17"/>
    <col width="20" customWidth="1" min="18" max="18"/>
    <col width="28" customWidth="1" min="19" max="19"/>
    <col width="16" customWidth="1" min="20" max="20"/>
    <col width="20" customWidth="1" min="21" max="21"/>
    <col width="16" customWidth="1" min="22" max="22"/>
    <col width="11" customWidth="1" min="23" max="23"/>
    <col width="14" customWidth="1" min="24" max="24"/>
    <col width="12" customWidth="1" min="25" max="25"/>
    <col width="12" customWidth="1" min="26" max="26"/>
    <col width="10" customWidth="1" min="27" max="27"/>
    <col width="9" customWidth="1" min="28" max="28"/>
    <col width="9" customWidth="1" min="29" max="29"/>
    <col width="13" customWidth="1" min="30" max="30"/>
    <col width="14" customWidth="1" min="31" max="31"/>
    <col width="16" customWidth="1" min="32" max="32"/>
    <col width="18" customWidth="1" min="33" max="33"/>
    <col width="11" customWidth="1" min="34" max="34"/>
    <col width="24" customWidth="1" min="35" max="35"/>
    <col width="16" customWidth="1" min="36" max="36"/>
    <col width="13" customWidth="1" min="37" max="37"/>
    <col width="13" customWidth="1" min="38" max="38"/>
    <col width="10" customWidth="1" min="39" max="39"/>
    <col width="38" customWidth="1" min="40" max="40"/>
    <col width="30" customWidth="1" min="41" max="41"/>
  </cols>
  <sheetData>
    <row r="1" ht="32" customHeight="1">
      <c r="A1" s="7" t="inlineStr">
        <is>
          <t>timestamp</t>
        </is>
      </c>
      <c r="B1" s="7" t="inlineStr">
        <is>
          <t>leadType</t>
        </is>
      </c>
      <c r="C1" s="7" t="inlineStr">
        <is>
          <t>variant</t>
        </is>
      </c>
      <c r="D1" s="7" t="inlineStr">
        <is>
          <t>leadSource</t>
        </is>
      </c>
      <c r="E1" s="7" t="inlineStr">
        <is>
          <t>campaignSlug</t>
        </is>
      </c>
      <c r="F1" s="7" t="inlineStr">
        <is>
          <t>pagePath</t>
        </is>
      </c>
      <c r="G1" s="7" t="inlineStr">
        <is>
          <t>pageUrl</t>
        </is>
      </c>
      <c r="H1" s="7" t="inlineStr">
        <is>
          <t>status</t>
        </is>
      </c>
      <c r="I1" s="7" t="inlineStr">
        <is>
          <t>assignedTo</t>
        </is>
      </c>
      <c r="J1" s="7" t="inlineStr">
        <is>
          <t>tripReference</t>
        </is>
      </c>
      <c r="K1" s="7" t="inlineStr">
        <is>
          <t>tripName</t>
        </is>
      </c>
      <c r="L1" s="7" t="inlineStr">
        <is>
          <t>tripSlug</t>
        </is>
      </c>
      <c r="M1" s="7" t="inlineStr">
        <is>
          <t>packageId</t>
        </is>
      </c>
      <c r="N1" s="7" t="inlineStr">
        <is>
          <t>packageSlug</t>
        </is>
      </c>
      <c r="O1" s="7" t="inlineStr">
        <is>
          <t>tourId</t>
        </is>
      </c>
      <c r="P1" s="7" t="inlineStr">
        <is>
          <t>tourSlug</t>
        </is>
      </c>
      <c r="Q1" s="7" t="inlineStr">
        <is>
          <t>subject</t>
        </is>
      </c>
      <c r="R1" s="7" t="inlineStr">
        <is>
          <t>name</t>
        </is>
      </c>
      <c r="S1" s="7" t="inlineStr">
        <is>
          <t>email</t>
        </is>
      </c>
      <c r="T1" s="7" t="inlineStr">
        <is>
          <t>phone</t>
        </is>
      </c>
      <c r="U1" s="7" t="inlineStr">
        <is>
          <t>company</t>
        </is>
      </c>
      <c r="V1" s="7" t="inlineStr">
        <is>
          <t>dates</t>
        </is>
      </c>
      <c r="W1" s="7" t="inlineStr">
        <is>
          <t>groupSize</t>
        </is>
      </c>
      <c r="X1" s="7" t="inlineStr">
        <is>
          <t>budgetRange</t>
        </is>
      </c>
      <c r="Y1" s="7" t="inlineStr">
        <is>
          <t>startDate</t>
        </is>
      </c>
      <c r="Z1" s="7" t="inlineStr">
        <is>
          <t>endDate</t>
        </is>
      </c>
      <c r="AA1" s="7" t="inlineStr">
        <is>
          <t>tripDays</t>
        </is>
      </c>
      <c r="AB1" s="7" t="inlineStr">
        <is>
          <t>adults</t>
        </is>
      </c>
      <c r="AC1" s="7" t="inlineStr">
        <is>
          <t>kids</t>
        </is>
      </c>
      <c r="AD1" s="7" t="inlineStr">
        <is>
          <t>travelMonth</t>
        </is>
      </c>
      <c r="AE1" s="7" t="inlineStr">
        <is>
          <t>startingCity</t>
        </is>
      </c>
      <c r="AF1" s="7" t="inlineStr">
        <is>
          <t>airportTransfers</t>
        </is>
      </c>
      <c r="AG1" s="7" t="inlineStr">
        <is>
          <t>accommodationTier</t>
        </is>
      </c>
      <c r="AH1" s="7" t="inlineStr">
        <is>
          <t>isResident</t>
        </is>
      </c>
      <c r="AI1" s="7" t="inlineStr">
        <is>
          <t>experiences</t>
        </is>
      </c>
      <c r="AJ1" s="7" t="inlineStr">
        <is>
          <t>budgetPreference</t>
        </is>
      </c>
      <c r="AK1" s="7" t="inlineStr">
        <is>
          <t>estimateFrom</t>
        </is>
      </c>
      <c r="AL1" s="7" t="inlineStr">
        <is>
          <t>estimateTo</t>
        </is>
      </c>
      <c r="AM1" s="7" t="inlineStr">
        <is>
          <t>currency</t>
        </is>
      </c>
      <c r="AN1" s="7" t="inlineStr">
        <is>
          <t>message</t>
        </is>
      </c>
      <c r="AO1" s="7" t="inlineStr">
        <is>
          <t>notes</t>
        </is>
      </c>
    </row>
    <row r="2">
      <c r="A2">
        <f>IFERROR(FILTER('All Leads'!A2:AO, 'All Leads'!B2:B="newsletter"), "")</f>
        <v/>
      </c>
    </row>
  </sheetData>
  <conditionalFormatting sqref="H2:H10000">
    <cfRule type="cellIs" priority="1" operator="equal" dxfId="0">
      <formula>"New"</formula>
    </cfRule>
    <cfRule type="cellIs" priority="2" operator="equal" dxfId="1">
      <formula>"Contacted"</formula>
    </cfRule>
    <cfRule type="cellIs" priority="3" operator="equal" dxfId="2">
      <formula>"Qualified"</formula>
    </cfRule>
    <cfRule type="cellIs" priority="4" operator="equal" dxfId="3">
      <formula>"Booked"</formula>
    </cfRule>
    <cfRule type="cellIs" priority="5" operator="equal" dxfId="4">
      <formula>"Lost"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8" customWidth="1" min="4" max="4"/>
    <col width="24" customWidth="1" min="5" max="5"/>
    <col width="24" customWidth="1" min="6" max="6"/>
    <col width="32" customWidth="1" min="7" max="7"/>
    <col width="13" customWidth="1" min="8" max="8"/>
    <col width="14" customWidth="1" min="9" max="9"/>
    <col width="16" customWidth="1" min="10" max="10"/>
    <col width="24" customWidth="1" min="11" max="11"/>
    <col width="20" customWidth="1" min="12" max="12"/>
    <col width="14" customWidth="1" min="13" max="13"/>
    <col width="20" customWidth="1" min="14" max="14"/>
    <col width="12" customWidth="1" min="15" max="15"/>
    <col width="20" customWidth="1" min="16" max="16"/>
    <col width="24" customWidth="1" min="17" max="17"/>
    <col width="20" customWidth="1" min="18" max="18"/>
    <col width="28" customWidth="1" min="19" max="19"/>
    <col width="16" customWidth="1" min="20" max="20"/>
    <col width="20" customWidth="1" min="21" max="21"/>
    <col width="16" customWidth="1" min="22" max="22"/>
    <col width="11" customWidth="1" min="23" max="23"/>
    <col width="14" customWidth="1" min="24" max="24"/>
    <col width="12" customWidth="1" min="25" max="25"/>
    <col width="12" customWidth="1" min="26" max="26"/>
    <col width="10" customWidth="1" min="27" max="27"/>
    <col width="9" customWidth="1" min="28" max="28"/>
    <col width="9" customWidth="1" min="29" max="29"/>
    <col width="13" customWidth="1" min="30" max="30"/>
    <col width="14" customWidth="1" min="31" max="31"/>
    <col width="16" customWidth="1" min="32" max="32"/>
    <col width="18" customWidth="1" min="33" max="33"/>
    <col width="11" customWidth="1" min="34" max="34"/>
    <col width="24" customWidth="1" min="35" max="35"/>
    <col width="16" customWidth="1" min="36" max="36"/>
    <col width="13" customWidth="1" min="37" max="37"/>
    <col width="13" customWidth="1" min="38" max="38"/>
    <col width="10" customWidth="1" min="39" max="39"/>
    <col width="38" customWidth="1" min="40" max="40"/>
    <col width="30" customWidth="1" min="41" max="41"/>
  </cols>
  <sheetData>
    <row r="1" ht="32" customHeight="1">
      <c r="A1" s="7" t="inlineStr">
        <is>
          <t>timestamp</t>
        </is>
      </c>
      <c r="B1" s="7" t="inlineStr">
        <is>
          <t>leadType</t>
        </is>
      </c>
      <c r="C1" s="7" t="inlineStr">
        <is>
          <t>variant</t>
        </is>
      </c>
      <c r="D1" s="7" t="inlineStr">
        <is>
          <t>leadSource</t>
        </is>
      </c>
      <c r="E1" s="7" t="inlineStr">
        <is>
          <t>campaignSlug</t>
        </is>
      </c>
      <c r="F1" s="7" t="inlineStr">
        <is>
          <t>pagePath</t>
        </is>
      </c>
      <c r="G1" s="7" t="inlineStr">
        <is>
          <t>pageUrl</t>
        </is>
      </c>
      <c r="H1" s="7" t="inlineStr">
        <is>
          <t>status</t>
        </is>
      </c>
      <c r="I1" s="7" t="inlineStr">
        <is>
          <t>assignedTo</t>
        </is>
      </c>
      <c r="J1" s="7" t="inlineStr">
        <is>
          <t>tripReference</t>
        </is>
      </c>
      <c r="K1" s="7" t="inlineStr">
        <is>
          <t>tripName</t>
        </is>
      </c>
      <c r="L1" s="7" t="inlineStr">
        <is>
          <t>tripSlug</t>
        </is>
      </c>
      <c r="M1" s="7" t="inlineStr">
        <is>
          <t>packageId</t>
        </is>
      </c>
      <c r="N1" s="7" t="inlineStr">
        <is>
          <t>packageSlug</t>
        </is>
      </c>
      <c r="O1" s="7" t="inlineStr">
        <is>
          <t>tourId</t>
        </is>
      </c>
      <c r="P1" s="7" t="inlineStr">
        <is>
          <t>tourSlug</t>
        </is>
      </c>
      <c r="Q1" s="7" t="inlineStr">
        <is>
          <t>subject</t>
        </is>
      </c>
      <c r="R1" s="7" t="inlineStr">
        <is>
          <t>name</t>
        </is>
      </c>
      <c r="S1" s="7" t="inlineStr">
        <is>
          <t>email</t>
        </is>
      </c>
      <c r="T1" s="7" t="inlineStr">
        <is>
          <t>phone</t>
        </is>
      </c>
      <c r="U1" s="7" t="inlineStr">
        <is>
          <t>company</t>
        </is>
      </c>
      <c r="V1" s="7" t="inlineStr">
        <is>
          <t>dates</t>
        </is>
      </c>
      <c r="W1" s="7" t="inlineStr">
        <is>
          <t>groupSize</t>
        </is>
      </c>
      <c r="X1" s="7" t="inlineStr">
        <is>
          <t>budgetRange</t>
        </is>
      </c>
      <c r="Y1" s="7" t="inlineStr">
        <is>
          <t>startDate</t>
        </is>
      </c>
      <c r="Z1" s="7" t="inlineStr">
        <is>
          <t>endDate</t>
        </is>
      </c>
      <c r="AA1" s="7" t="inlineStr">
        <is>
          <t>tripDays</t>
        </is>
      </c>
      <c r="AB1" s="7" t="inlineStr">
        <is>
          <t>adults</t>
        </is>
      </c>
      <c r="AC1" s="7" t="inlineStr">
        <is>
          <t>kids</t>
        </is>
      </c>
      <c r="AD1" s="7" t="inlineStr">
        <is>
          <t>travelMonth</t>
        </is>
      </c>
      <c r="AE1" s="7" t="inlineStr">
        <is>
          <t>startingCity</t>
        </is>
      </c>
      <c r="AF1" s="7" t="inlineStr">
        <is>
          <t>airportTransfers</t>
        </is>
      </c>
      <c r="AG1" s="7" t="inlineStr">
        <is>
          <t>accommodationTier</t>
        </is>
      </c>
      <c r="AH1" s="7" t="inlineStr">
        <is>
          <t>isResident</t>
        </is>
      </c>
      <c r="AI1" s="7" t="inlineStr">
        <is>
          <t>experiences</t>
        </is>
      </c>
      <c r="AJ1" s="7" t="inlineStr">
        <is>
          <t>budgetPreference</t>
        </is>
      </c>
      <c r="AK1" s="7" t="inlineStr">
        <is>
          <t>estimateFrom</t>
        </is>
      </c>
      <c r="AL1" s="7" t="inlineStr">
        <is>
          <t>estimateTo</t>
        </is>
      </c>
      <c r="AM1" s="7" t="inlineStr">
        <is>
          <t>currency</t>
        </is>
      </c>
      <c r="AN1" s="7" t="inlineStr">
        <is>
          <t>message</t>
        </is>
      </c>
      <c r="AO1" s="7" t="inlineStr">
        <is>
          <t>notes</t>
        </is>
      </c>
    </row>
    <row r="2">
      <c r="A2">
        <f>IFERROR(FILTER('All Leads'!A2:AO, 'All Leads'!E2:E&lt;&gt;""), "")</f>
        <v/>
      </c>
    </row>
  </sheetData>
  <conditionalFormatting sqref="H2:H10000">
    <cfRule type="cellIs" priority="1" operator="equal" dxfId="0">
      <formula>"New"</formula>
    </cfRule>
    <cfRule type="cellIs" priority="2" operator="equal" dxfId="1">
      <formula>"Contacted"</formula>
    </cfRule>
    <cfRule type="cellIs" priority="3" operator="equal" dxfId="2">
      <formula>"Qualified"</formula>
    </cfRule>
    <cfRule type="cellIs" priority="4" operator="equal" dxfId="3">
      <formula>"Booked"</formula>
    </cfRule>
    <cfRule type="cellIs" priority="5" operator="equal" dxfId="4">
      <formula>"Lost"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2026-04-30T10:20:05Z</dcterms:created>
  <dcterms:modified xmlns:dcterms="http://purl.org/dc/terms/" xmlns:xsi="http://www.w3.org/2001/XMLSchema-instance" xsi:type="dcterms:W3CDTF">2026-04-30T10:20:05Z</dcterms:modified>
</cp:coreProperties>
</file>